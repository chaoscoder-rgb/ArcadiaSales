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34cb131c2e9c204/DevSecOps/ArcadiaSales/files/"/>
    </mc:Choice>
  </mc:AlternateContent>
  <xr:revisionPtr revIDLastSave="131" documentId="8_{FEF762D2-C00F-47A4-B9A0-D3396F04C13B}" xr6:coauthVersionLast="47" xr6:coauthVersionMax="47" xr10:uidLastSave="{AE29C492-5209-4DA3-8996-144C3A11CE73}"/>
  <bookViews>
    <workbookView xWindow="-120" yWindow="-120" windowWidth="29040" windowHeight="15720" activeTab="1" xr2:uid="{B85B7740-B57A-40E3-AFC7-DF55BBF17B0A}"/>
  </bookViews>
  <sheets>
    <sheet name="sale_details" sheetId="1" r:id="rId1"/>
    <sheet name="data_type" sheetId="2" r:id="rId2"/>
  </sheets>
  <definedNames>
    <definedName name="_xlnm._FilterDatabase" localSheetId="0" hidden="1">sale_details!$A$1:$U$5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R4" i="1" s="1"/>
  <c r="S4" i="1" s="1"/>
  <c r="P3" i="1"/>
  <c r="P2" i="1"/>
  <c r="R2" i="1" s="1"/>
  <c r="S2" i="1" l="1"/>
  <c r="R3" i="1"/>
  <c r="S3" i="1" s="1"/>
</calcChain>
</file>

<file path=xl/sharedStrings.xml><?xml version="1.0" encoding="utf-8"?>
<sst xmlns="http://schemas.openxmlformats.org/spreadsheetml/2006/main" count="108" uniqueCount="49">
  <si>
    <t>Praneeth Arcadia Premium</t>
  </si>
  <si>
    <t>SPG</t>
  </si>
  <si>
    <t>Prakash Gau Friend - 1</t>
  </si>
  <si>
    <t>OTP</t>
  </si>
  <si>
    <t>East</t>
  </si>
  <si>
    <t>Prakash Gau Friend - 2</t>
  </si>
  <si>
    <t>Prakash Gau Friend - 3</t>
  </si>
  <si>
    <t>12 ==&gt; Collected by Prakash Garu
6 ==&gt; Transferred to Ramesh Garu ( Suresh Gari Friend) , Received NA from Ramesh Garu
20==&gt; Collected from Srikanth and used for Redfern Irrigation</t>
  </si>
  <si>
    <t>15L==&gt; Given to Suresh Garu for SSI</t>
  </si>
  <si>
    <t>balance_amount</t>
  </si>
  <si>
    <t>amount_received</t>
  </si>
  <si>
    <t>amenties_and_premiums</t>
  </si>
  <si>
    <t>base_sqft_price</t>
  </si>
  <si>
    <t>facing</t>
  </si>
  <si>
    <t>sbua_sqft</t>
  </si>
  <si>
    <t>land_sqyards</t>
  </si>
  <si>
    <t>type_of_sale</t>
  </si>
  <si>
    <t>s_no</t>
  </si>
  <si>
    <t>booking_date</t>
  </si>
  <si>
    <t xml:space="preserve">project </t>
  </si>
  <si>
    <t>spg_praneeth</t>
  </si>
  <si>
    <t>token</t>
  </si>
  <si>
    <t>sol</t>
  </si>
  <si>
    <t>balance_tobe_received_by_plan_approval</t>
  </si>
  <si>
    <t>balance_tobe_received_during_exec</t>
  </si>
  <si>
    <t>notes</t>
  </si>
  <si>
    <t>Integer</t>
  </si>
  <si>
    <t>Date in dd/mm/yyyy format</t>
  </si>
  <si>
    <t>Text</t>
  </si>
  <si>
    <t>Single line text</t>
  </si>
  <si>
    <t>Integer, increment by 1 for every new row</t>
  </si>
  <si>
    <t>Options, SPG or Praneeth</t>
  </si>
  <si>
    <t>Currency</t>
  </si>
  <si>
    <t>Options, OTP or R</t>
  </si>
  <si>
    <t>total_sale_price</t>
  </si>
  <si>
    <t>Calculated field:total_sale_price - amount_received</t>
  </si>
  <si>
    <t>Date</t>
  </si>
  <si>
    <t>List</t>
  </si>
  <si>
    <t>Multi line text</t>
  </si>
  <si>
    <t>Field</t>
  </si>
  <si>
    <t>Field Type</t>
  </si>
  <si>
    <t>Validation</t>
  </si>
  <si>
    <t>Calculated Field:
- If type_of_sale = OTP, then balance_amount
- If type_of_sale = R, then (total_sale_price*20%)-balance_amount</t>
  </si>
  <si>
    <t>buyer_name</t>
  </si>
  <si>
    <t>sale_person_name</t>
  </si>
  <si>
    <t>crm_name</t>
  </si>
  <si>
    <t>vasu</t>
  </si>
  <si>
    <t>madhavi</t>
  </si>
  <si>
    <t>Calculated field: (base_sqft_price + amenities_and_premiums)*land_sqyards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</si>
</sst>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 [$₹-445]\ * #,##0.00_ ;_ [$₹-445]\ * \-#,##0.00_ ;_ [$₹-445]\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64" fontId="0" fillId="3" borderId="1" xfId="0" applyNumberFormat="1" applyFill="1" applyBorder="1" applyAlignment="1">
      <alignment wrapText="1"/>
    </xf>
    <xf numFmtId="164" fontId="0" fillId="0" borderId="1" xfId="0" applyNumberFormat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left" vertical="center"/>
    </xf>
    <xf numFmtId="165" fontId="1" fillId="2" borderId="1" xfId="0" applyNumberFormat="1" applyFont="1" applyFill="1" applyBorder="1" applyAlignment="1">
      <alignment horizontal="left" wrapText="1"/>
    </xf>
    <xf numFmtId="165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7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wrapText="1"/>
    </xf>
    <xf numFmtId="165" fontId="6" fillId="0" borderId="7" xfId="0" applyNumberFormat="1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7" fillId="0" borderId="9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wrapText="1"/>
    </xf>
    <xf numFmtId="0" fontId="6" fillId="0" borderId="5" xfId="0" applyFont="1" applyBorder="1" applyAlignment="1">
      <alignment horizontal="left" wrapText="1"/>
    </xf>
    <xf numFmtId="0" fontId="7" fillId="0" borderId="6" xfId="0" applyFont="1" applyBorder="1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32CD4-6B6E-4006-B399-0FD227334710}" name="Table1" displayName="Table1" ref="A1:C22" totalsRowShown="0" headerRowDxfId="6" headerRowBorderDxfId="5" tableBorderDxfId="4" totalsRowBorderDxfId="3">
  <autoFilter ref="A1:C22" xr:uid="{34032CD4-6B6E-4006-B399-0FD227334710}"/>
  <tableColumns count="3">
    <tableColumn id="1" xr3:uid="{50C4DA64-C4DF-408D-991B-C2D325F00626}" name="Field" dataDxfId="2"/>
    <tableColumn id="2" xr3:uid="{79CF7EF2-139C-4A72-A0F1-64E3E1E2AB46}" name="Field Type" dataDxfId="1"/>
    <tableColumn id="3" xr3:uid="{2ADBD485-A711-4F4D-8BDD-765080423271}" name="Valid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E3FC-C88E-4474-8557-9E2D3CAB3DE1}">
  <sheetPr filterMode="1"/>
  <dimension ref="A1:U5"/>
  <sheetViews>
    <sheetView zoomScale="90" zoomScaleNormal="90" workbookViewId="0">
      <selection activeCell="G12" sqref="G12"/>
    </sheetView>
  </sheetViews>
  <sheetFormatPr defaultColWidth="9.140625" defaultRowHeight="15" x14ac:dyDescent="0.25"/>
  <cols>
    <col min="1" max="1" width="7.42578125" style="1" customWidth="1"/>
    <col min="2" max="2" width="12.140625" style="19" bestFit="1" customWidth="1"/>
    <col min="3" max="3" width="26.28515625" style="1" customWidth="1"/>
    <col min="4" max="4" width="19.42578125" style="1" customWidth="1"/>
    <col min="5" max="5" width="8.140625" style="1" customWidth="1"/>
    <col min="6" max="8" width="28.5703125" style="1" customWidth="1"/>
    <col min="9" max="9" width="6.42578125" style="1" bestFit="1" customWidth="1"/>
    <col min="10" max="10" width="9.7109375" style="1" customWidth="1"/>
    <col min="11" max="11" width="10.42578125" style="1" customWidth="1"/>
    <col min="12" max="12" width="11.28515625" style="22" bestFit="1" customWidth="1"/>
    <col min="13" max="13" width="10.42578125" style="1" bestFit="1" customWidth="1"/>
    <col min="14" max="14" width="13" style="22" bestFit="1" customWidth="1"/>
    <col min="15" max="15" width="27.85546875" style="1" customWidth="1"/>
    <col min="16" max="16" width="15.85546875" style="1" bestFit="1" customWidth="1"/>
    <col min="17" max="17" width="16.140625" style="1" bestFit="1" customWidth="1"/>
    <col min="18" max="18" width="17.140625" style="1" customWidth="1"/>
    <col min="19" max="19" width="20.85546875" style="1" bestFit="1" customWidth="1"/>
    <col min="20" max="21" width="20.85546875" style="1" customWidth="1"/>
    <col min="22" max="22" width="49.5703125" style="1" customWidth="1"/>
    <col min="23" max="16384" width="9.140625" style="1"/>
  </cols>
  <sheetData>
    <row r="1" spans="1:21" s="6" customFormat="1" ht="45" x14ac:dyDescent="0.25">
      <c r="A1" s="2" t="s">
        <v>17</v>
      </c>
      <c r="B1" s="3" t="s">
        <v>18</v>
      </c>
      <c r="C1" s="4" t="s">
        <v>19</v>
      </c>
      <c r="D1" s="4" t="s">
        <v>20</v>
      </c>
      <c r="E1" s="4" t="s">
        <v>21</v>
      </c>
      <c r="F1" s="4" t="s">
        <v>43</v>
      </c>
      <c r="G1" s="4" t="s">
        <v>44</v>
      </c>
      <c r="H1" s="4" t="s">
        <v>45</v>
      </c>
      <c r="I1" s="4" t="s">
        <v>22</v>
      </c>
      <c r="J1" s="4" t="s">
        <v>16</v>
      </c>
      <c r="K1" s="4" t="s">
        <v>15</v>
      </c>
      <c r="L1" s="20" t="s">
        <v>14</v>
      </c>
      <c r="M1" s="4" t="s">
        <v>13</v>
      </c>
      <c r="N1" s="20" t="s">
        <v>12</v>
      </c>
      <c r="O1" s="4" t="s">
        <v>11</v>
      </c>
      <c r="P1" s="5" t="s">
        <v>34</v>
      </c>
      <c r="Q1" s="4" t="s">
        <v>10</v>
      </c>
      <c r="R1" s="4" t="s">
        <v>9</v>
      </c>
      <c r="S1" s="4" t="s">
        <v>23</v>
      </c>
      <c r="T1" s="4" t="s">
        <v>25</v>
      </c>
      <c r="U1" s="4" t="s">
        <v>24</v>
      </c>
    </row>
    <row r="2" spans="1:21" ht="150" x14ac:dyDescent="0.25">
      <c r="A2" s="7">
        <v>1</v>
      </c>
      <c r="B2" s="8"/>
      <c r="C2" s="9" t="s">
        <v>0</v>
      </c>
      <c r="D2" s="7" t="s">
        <v>1</v>
      </c>
      <c r="E2" s="7"/>
      <c r="F2" s="10" t="s">
        <v>2</v>
      </c>
      <c r="G2" s="10" t="s">
        <v>47</v>
      </c>
      <c r="H2" s="10" t="s">
        <v>46</v>
      </c>
      <c r="I2" s="7"/>
      <c r="J2" s="7" t="s">
        <v>3</v>
      </c>
      <c r="K2" s="7">
        <v>180</v>
      </c>
      <c r="L2" s="21">
        <v>2430</v>
      </c>
      <c r="M2" s="7" t="s">
        <v>4</v>
      </c>
      <c r="N2" s="21">
        <v>5800</v>
      </c>
      <c r="O2" s="7"/>
      <c r="P2" s="11">
        <f t="shared" ref="P2:P3" si="0">L2*N2</f>
        <v>14094000</v>
      </c>
      <c r="Q2" s="11">
        <v>12879000</v>
      </c>
      <c r="R2" s="11">
        <f>P2-Q2</f>
        <v>1215000</v>
      </c>
      <c r="S2" s="11">
        <f t="shared" ref="S2:S4" si="1">R2</f>
        <v>1215000</v>
      </c>
      <c r="T2" s="6" t="s">
        <v>7</v>
      </c>
      <c r="U2" s="11">
        <v>0</v>
      </c>
    </row>
    <row r="3" spans="1:21" x14ac:dyDescent="0.25">
      <c r="A3" s="7">
        <v>2</v>
      </c>
      <c r="B3" s="8"/>
      <c r="C3" s="9" t="s">
        <v>0</v>
      </c>
      <c r="D3" s="7" t="s">
        <v>1</v>
      </c>
      <c r="E3" s="7"/>
      <c r="F3" s="10" t="s">
        <v>5</v>
      </c>
      <c r="G3" s="10" t="s">
        <v>47</v>
      </c>
      <c r="H3" s="10" t="s">
        <v>46</v>
      </c>
      <c r="I3" s="7"/>
      <c r="J3" s="7" t="s">
        <v>3</v>
      </c>
      <c r="K3" s="7">
        <v>180</v>
      </c>
      <c r="L3" s="21">
        <v>2430</v>
      </c>
      <c r="M3" s="7" t="s">
        <v>4</v>
      </c>
      <c r="N3" s="21">
        <v>5800</v>
      </c>
      <c r="O3" s="7"/>
      <c r="P3" s="11">
        <f t="shared" si="0"/>
        <v>14094000</v>
      </c>
      <c r="Q3" s="11">
        <v>12121000</v>
      </c>
      <c r="R3" s="11">
        <f>P3-Q3</f>
        <v>1973000</v>
      </c>
      <c r="S3" s="12">
        <f t="shared" si="1"/>
        <v>1973000</v>
      </c>
      <c r="T3" s="1" t="s">
        <v>8</v>
      </c>
      <c r="U3" s="11">
        <v>0</v>
      </c>
    </row>
    <row r="4" spans="1:21" x14ac:dyDescent="0.25">
      <c r="A4" s="7">
        <v>3</v>
      </c>
      <c r="B4" s="8"/>
      <c r="C4" s="9" t="s">
        <v>0</v>
      </c>
      <c r="D4" s="7" t="s">
        <v>1</v>
      </c>
      <c r="E4" s="7"/>
      <c r="F4" s="10" t="s">
        <v>6</v>
      </c>
      <c r="G4" s="10" t="s">
        <v>47</v>
      </c>
      <c r="H4" s="10" t="s">
        <v>46</v>
      </c>
      <c r="I4" s="7"/>
      <c r="J4" s="7" t="s">
        <v>3</v>
      </c>
      <c r="K4" s="7">
        <v>350</v>
      </c>
      <c r="L4" s="21">
        <v>4050</v>
      </c>
      <c r="M4" s="7" t="s">
        <v>4</v>
      </c>
      <c r="N4" s="21">
        <v>5800</v>
      </c>
      <c r="O4" s="7"/>
      <c r="P4" s="11">
        <f>L4*N4+(36000*50)</f>
        <v>25290000</v>
      </c>
      <c r="Q4" s="11">
        <v>12500000</v>
      </c>
      <c r="R4" s="11">
        <f>P4-Q4</f>
        <v>12790000</v>
      </c>
      <c r="S4" s="12">
        <f t="shared" si="1"/>
        <v>12790000</v>
      </c>
      <c r="T4" s="12"/>
      <c r="U4" s="11">
        <v>0</v>
      </c>
    </row>
    <row r="5" spans="1:21" hidden="1" x14ac:dyDescent="0.25">
      <c r="A5" s="7"/>
      <c r="B5" s="13"/>
      <c r="C5" s="13"/>
      <c r="D5" s="7"/>
      <c r="E5" s="13"/>
      <c r="F5" s="18"/>
      <c r="G5" s="18"/>
      <c r="H5" s="18"/>
      <c r="I5" s="7"/>
      <c r="J5" s="17"/>
      <c r="K5" s="13"/>
      <c r="L5" s="13"/>
      <c r="M5" s="13"/>
      <c r="N5" s="13"/>
      <c r="O5" s="14"/>
      <c r="P5" s="15"/>
      <c r="Q5" s="16"/>
      <c r="R5" s="11"/>
      <c r="S5" s="11"/>
      <c r="T5" s="11"/>
      <c r="U5" s="11"/>
    </row>
  </sheetData>
  <autoFilter ref="A1:U5" xr:uid="{1B9C648F-90F3-4CA9-844E-6E26197C8DEF}">
    <filterColumn colId="2">
      <customFilters>
        <customFilter operator="notEqual" val=" "/>
      </customFilters>
    </filterColumn>
  </autoFilter>
  <pageMargins left="0.7" right="0.7" top="0.75" bottom="0.75" header="0.3" footer="0.3"/>
  <pageSetup paperSize="8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BD66-F116-495F-BD2B-362453D7BB89}">
  <dimension ref="A1:C22"/>
  <sheetViews>
    <sheetView tabSelected="1" workbookViewId="0">
      <selection activeCell="A22" activeCellId="3" sqref="A18 A19 A20 A22"/>
    </sheetView>
  </sheetViews>
  <sheetFormatPr defaultRowHeight="15" x14ac:dyDescent="0.25"/>
  <cols>
    <col min="1" max="2" width="22.7109375" customWidth="1"/>
    <col min="3" max="3" width="80.85546875" bestFit="1" customWidth="1"/>
  </cols>
  <sheetData>
    <row r="1" spans="1:3" ht="15.75" x14ac:dyDescent="0.25">
      <c r="A1" s="31" t="s">
        <v>39</v>
      </c>
      <c r="B1" s="32" t="s">
        <v>40</v>
      </c>
      <c r="C1" s="33" t="s">
        <v>41</v>
      </c>
    </row>
    <row r="2" spans="1:3" ht="15.75" x14ac:dyDescent="0.25">
      <c r="A2" s="26" t="s">
        <v>17</v>
      </c>
      <c r="B2" s="23" t="s">
        <v>26</v>
      </c>
      <c r="C2" s="34" t="s">
        <v>30</v>
      </c>
    </row>
    <row r="3" spans="1:3" ht="15.75" x14ac:dyDescent="0.25">
      <c r="A3" s="27" t="s">
        <v>18</v>
      </c>
      <c r="B3" s="24" t="s">
        <v>36</v>
      </c>
      <c r="C3" s="34" t="s">
        <v>27</v>
      </c>
    </row>
    <row r="4" spans="1:3" ht="15.75" x14ac:dyDescent="0.25">
      <c r="A4" s="28" t="s">
        <v>19</v>
      </c>
      <c r="B4" s="25" t="s">
        <v>28</v>
      </c>
      <c r="C4" s="34" t="s">
        <v>29</v>
      </c>
    </row>
    <row r="5" spans="1:3" ht="15.75" x14ac:dyDescent="0.25">
      <c r="A5" s="28" t="s">
        <v>20</v>
      </c>
      <c r="B5" s="25" t="s">
        <v>37</v>
      </c>
      <c r="C5" s="34" t="s">
        <v>31</v>
      </c>
    </row>
    <row r="6" spans="1:3" ht="15.75" x14ac:dyDescent="0.25">
      <c r="A6" s="28" t="s">
        <v>21</v>
      </c>
      <c r="B6" s="25" t="s">
        <v>26</v>
      </c>
      <c r="C6" s="34" t="s">
        <v>26</v>
      </c>
    </row>
    <row r="7" spans="1:3" ht="15.75" x14ac:dyDescent="0.25">
      <c r="A7" s="28" t="s">
        <v>43</v>
      </c>
      <c r="B7" s="25" t="s">
        <v>28</v>
      </c>
      <c r="C7" s="34" t="s">
        <v>29</v>
      </c>
    </row>
    <row r="8" spans="1:3" ht="15.75" x14ac:dyDescent="0.25">
      <c r="A8" s="28" t="s">
        <v>44</v>
      </c>
      <c r="B8" s="25" t="s">
        <v>28</v>
      </c>
      <c r="C8" s="34" t="s">
        <v>29</v>
      </c>
    </row>
    <row r="9" spans="1:3" ht="15.75" x14ac:dyDescent="0.25">
      <c r="A9" s="28" t="s">
        <v>45</v>
      </c>
      <c r="B9" s="25" t="s">
        <v>28</v>
      </c>
      <c r="C9" s="34" t="s">
        <v>29</v>
      </c>
    </row>
    <row r="10" spans="1:3" ht="15.75" x14ac:dyDescent="0.25">
      <c r="A10" s="28" t="s">
        <v>22</v>
      </c>
      <c r="B10" s="25" t="s">
        <v>28</v>
      </c>
      <c r="C10" s="34" t="s">
        <v>29</v>
      </c>
    </row>
    <row r="11" spans="1:3" ht="15.75" x14ac:dyDescent="0.25">
      <c r="A11" s="28" t="s">
        <v>16</v>
      </c>
      <c r="B11" s="25" t="s">
        <v>37</v>
      </c>
      <c r="C11" s="34" t="s">
        <v>33</v>
      </c>
    </row>
    <row r="12" spans="1:3" ht="15.75" x14ac:dyDescent="0.25">
      <c r="A12" s="28" t="s">
        <v>15</v>
      </c>
      <c r="B12" s="25" t="s">
        <v>26</v>
      </c>
      <c r="C12" s="34" t="s">
        <v>26</v>
      </c>
    </row>
    <row r="13" spans="1:3" ht="15.75" x14ac:dyDescent="0.25">
      <c r="A13" s="29" t="s">
        <v>14</v>
      </c>
      <c r="B13" s="25" t="s">
        <v>32</v>
      </c>
      <c r="C13" s="34" t="s">
        <v>32</v>
      </c>
    </row>
    <row r="14" spans="1:3" ht="15.75" x14ac:dyDescent="0.25">
      <c r="A14" s="28" t="s">
        <v>13</v>
      </c>
      <c r="B14" s="25" t="s">
        <v>28</v>
      </c>
      <c r="C14" s="34" t="s">
        <v>29</v>
      </c>
    </row>
    <row r="15" spans="1:3" ht="15.75" x14ac:dyDescent="0.25">
      <c r="A15" s="29" t="s">
        <v>12</v>
      </c>
      <c r="B15" s="25" t="s">
        <v>32</v>
      </c>
      <c r="C15" s="34" t="s">
        <v>32</v>
      </c>
    </row>
    <row r="16" spans="1:3" ht="31.5" x14ac:dyDescent="0.25">
      <c r="A16" s="28" t="s">
        <v>11</v>
      </c>
      <c r="B16" s="25" t="s">
        <v>32</v>
      </c>
      <c r="C16" s="34" t="s">
        <v>32</v>
      </c>
    </row>
    <row r="17" spans="1:3" ht="15.75" x14ac:dyDescent="0.25">
      <c r="A17" s="28" t="s">
        <v>34</v>
      </c>
      <c r="B17" s="25" t="s">
        <v>32</v>
      </c>
      <c r="C17" s="34" t="s">
        <v>48</v>
      </c>
    </row>
    <row r="18" spans="1:3" ht="15.75" x14ac:dyDescent="0.25">
      <c r="A18" s="28" t="s">
        <v>10</v>
      </c>
      <c r="B18" s="25" t="s">
        <v>32</v>
      </c>
      <c r="C18" s="34" t="s">
        <v>32</v>
      </c>
    </row>
    <row r="19" spans="1:3" ht="15.75" x14ac:dyDescent="0.25">
      <c r="A19" s="28" t="s">
        <v>9</v>
      </c>
      <c r="B19" s="25" t="s">
        <v>32</v>
      </c>
      <c r="C19" s="34" t="s">
        <v>35</v>
      </c>
    </row>
    <row r="20" spans="1:3" ht="47.25" x14ac:dyDescent="0.25">
      <c r="A20" s="28" t="s">
        <v>23</v>
      </c>
      <c r="B20" s="25" t="s">
        <v>32</v>
      </c>
      <c r="C20" s="35" t="s">
        <v>42</v>
      </c>
    </row>
    <row r="21" spans="1:3" ht="15.75" x14ac:dyDescent="0.25">
      <c r="A21" s="28" t="s">
        <v>25</v>
      </c>
      <c r="B21" s="25" t="s">
        <v>38</v>
      </c>
      <c r="C21" s="34"/>
    </row>
    <row r="22" spans="1:3" ht="31.5" x14ac:dyDescent="0.25">
      <c r="A22" s="30" t="s">
        <v>24</v>
      </c>
      <c r="B22" s="36" t="s">
        <v>32</v>
      </c>
      <c r="C22" s="3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sale_details</vt:lpstr>
      <vt:lpstr>data_type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Srinivasu Garimella</dc:creator>
  <cp:lastModifiedBy>Dinakar Anumolu</cp:lastModifiedBy>
  <dcterms:created xsi:type="dcterms:W3CDTF">2025-11-05T07:11:16Z</dcterms:created>
  <dcterms:modified xsi:type="dcterms:W3CDTF">2025-11-05T19:29:19Z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b49050-d2ca-4b82-83d8-3fed8b20fa0b_Enabled">
    <vt:lpwstr>true</vt:lpwstr>
  </property>
  <property fmtid="{D5CDD505-2E9C-101B-9397-08002B2CF9AE}" pid="3" name="MSIP_Label_0cb49050-d2ca-4b82-83d8-3fed8b20fa0b_SetDate">
    <vt:lpwstr>2025-11-05T07:13:07Z</vt:lpwstr>
  </property>
  <property fmtid="{D5CDD505-2E9C-101B-9397-08002B2CF9AE}" pid="4" name="MSIP_Label_0cb49050-d2ca-4b82-83d8-3fed8b20fa0b_Method">
    <vt:lpwstr>Standard</vt:lpwstr>
  </property>
  <property fmtid="{D5CDD505-2E9C-101B-9397-08002B2CF9AE}" pid="5" name="MSIP_Label_0cb49050-d2ca-4b82-83d8-3fed8b20fa0b_Name">
    <vt:lpwstr>Public</vt:lpwstr>
  </property>
  <property fmtid="{D5CDD505-2E9C-101B-9397-08002B2CF9AE}" pid="6" name="MSIP_Label_0cb49050-d2ca-4b82-83d8-3fed8b20fa0b_SiteId">
    <vt:lpwstr>2d6b0cf3-57fa-4619-abf9-d13e1ef2352a</vt:lpwstr>
  </property>
  <property fmtid="{D5CDD505-2E9C-101B-9397-08002B2CF9AE}" pid="7" name="MSIP_Label_0cb49050-d2ca-4b82-83d8-3fed8b20fa0b_ActionId">
    <vt:lpwstr>a07376c3-b62f-4605-8867-c491e71feb5e</vt:lpwstr>
  </property>
  <property fmtid="{D5CDD505-2E9C-101B-9397-08002B2CF9AE}" pid="8" name="MSIP_Label_0cb49050-d2ca-4b82-83d8-3fed8b20fa0b_ContentBits">
    <vt:lpwstr>0</vt:lpwstr>
  </property>
  <property fmtid="{D5CDD505-2E9C-101B-9397-08002B2CF9AE}" pid="9" name="MSIP_Label_0cb49050-d2ca-4b82-83d8-3fed8b20fa0b_Tag">
    <vt:lpwstr>10, 3, 0, 1</vt:lpwstr>
  </property>
</Properties>
</file>